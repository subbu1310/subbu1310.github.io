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bbu\Personal development\Engineering\"/>
    </mc:Choice>
  </mc:AlternateContent>
  <xr:revisionPtr revIDLastSave="0" documentId="8_{4B5C0151-BFF4-4CC9-B150-ACD2519A508A}" xr6:coauthVersionLast="47" xr6:coauthVersionMax="47" xr10:uidLastSave="{00000000-0000-0000-0000-000000000000}"/>
  <bookViews>
    <workbookView xWindow="-28920" yWindow="-120" windowWidth="29040" windowHeight="15720" xr2:uid="{08F3FFC3-EB9C-4B48-9E67-A1336FB9B8CE}"/>
  </bookViews>
  <sheets>
    <sheet name="Sample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1" l="1"/>
  <c r="C118" i="1"/>
  <c r="C117" i="1"/>
  <c r="C116" i="1"/>
  <c r="C110" i="1"/>
  <c r="C104" i="1"/>
  <c r="C103" i="1"/>
  <c r="C102" i="1"/>
  <c r="C101" i="1"/>
  <c r="C97" i="1"/>
  <c r="C96" i="1"/>
  <c r="C95" i="1"/>
  <c r="C94" i="1"/>
  <c r="C87" i="1"/>
  <c r="C86" i="1"/>
  <c r="C66" i="1"/>
  <c r="C65" i="1"/>
  <c r="C59" i="1"/>
  <c r="C52" i="1"/>
  <c r="C50" i="1"/>
  <c r="C49" i="1"/>
  <c r="C48" i="1"/>
  <c r="C41" i="1"/>
  <c r="C40" i="1"/>
</calcChain>
</file>

<file path=xl/sharedStrings.xml><?xml version="1.0" encoding="utf-8"?>
<sst xmlns="http://schemas.openxmlformats.org/spreadsheetml/2006/main" count="164" uniqueCount="91">
  <si>
    <t>Step 1: Gather data</t>
  </si>
  <si>
    <t xml:space="preserve">Parameter </t>
  </si>
  <si>
    <t>Value</t>
  </si>
  <si>
    <t>Units</t>
  </si>
  <si>
    <t>Reference</t>
  </si>
  <si>
    <t>1.1 Shell side</t>
  </si>
  <si>
    <t>kg/hr</t>
  </si>
  <si>
    <t>C</t>
  </si>
  <si>
    <t>kg/m3</t>
  </si>
  <si>
    <t>Wh/kg K</t>
  </si>
  <si>
    <t>mm2/s</t>
  </si>
  <si>
    <t>W/m K</t>
  </si>
  <si>
    <t>m2 K/W</t>
  </si>
  <si>
    <t>Inlet Temp (T1)</t>
  </si>
  <si>
    <t>Outlet Temp (T2)</t>
  </si>
  <si>
    <t>Fouling Factor (f1)</t>
  </si>
  <si>
    <t>1.2 Tube side</t>
  </si>
  <si>
    <t>Inlet Temp (t1)</t>
  </si>
  <si>
    <t>Outlet Temp (t2)</t>
  </si>
  <si>
    <t>Kinematic viscosity (ν_t)</t>
  </si>
  <si>
    <r>
      <t>Heat conductivity (</t>
    </r>
    <r>
      <rPr>
        <sz val="11"/>
        <color theme="1"/>
        <rFont val="Aptos Narrow"/>
        <family val="2"/>
      </rPr>
      <t>λ_t)</t>
    </r>
  </si>
  <si>
    <t>Specific heat capacity (c_t)</t>
  </si>
  <si>
    <r>
      <t>Density (</t>
    </r>
    <r>
      <rPr>
        <sz val="11"/>
        <color theme="1"/>
        <rFont val="Aptos Narrow"/>
        <family val="2"/>
      </rPr>
      <t>ρ_t)</t>
    </r>
  </si>
  <si>
    <t xml:space="preserve">Flow rate (m_t) </t>
  </si>
  <si>
    <t xml:space="preserve">Flow rate (m_s) </t>
  </si>
  <si>
    <t>Specific heat capacity (c_s)</t>
  </si>
  <si>
    <r>
      <t>Density (</t>
    </r>
    <r>
      <rPr>
        <sz val="11"/>
        <color theme="1"/>
        <rFont val="Aptos Narrow"/>
        <family val="2"/>
      </rPr>
      <t>ρ_s)</t>
    </r>
  </si>
  <si>
    <r>
      <t>Heat conductivity (</t>
    </r>
    <r>
      <rPr>
        <sz val="11"/>
        <color theme="1"/>
        <rFont val="Aptos Narrow"/>
        <family val="2"/>
      </rPr>
      <t>λ_s)</t>
    </r>
  </si>
  <si>
    <t>Kinematic viscosity (ν_s)</t>
  </si>
  <si>
    <t>Shell side Heat load (Q_s)</t>
  </si>
  <si>
    <t>Tube side heat load (Q_t)</t>
  </si>
  <si>
    <t>W</t>
  </si>
  <si>
    <t>Step 2: Calculate Heat Loads</t>
  </si>
  <si>
    <t>Step 3: Determine corrected effective temperature(CMTD)</t>
  </si>
  <si>
    <t>LMTD</t>
  </si>
  <si>
    <t>F</t>
  </si>
  <si>
    <t>P</t>
  </si>
  <si>
    <t>R</t>
  </si>
  <si>
    <t>CMTD</t>
  </si>
  <si>
    <t>Step 4: Estimate the required heat exchanger area</t>
  </si>
  <si>
    <t>Area (A)</t>
  </si>
  <si>
    <t>Heat transfer coefficient (U)</t>
  </si>
  <si>
    <t>W/m2 K</t>
  </si>
  <si>
    <t>m2</t>
  </si>
  <si>
    <t>Step 5: Selection of appropriate heat exchanger from design table</t>
  </si>
  <si>
    <t>Shell volumetric flow</t>
  </si>
  <si>
    <t>Tube volumetric flow</t>
  </si>
  <si>
    <t>DN</t>
  </si>
  <si>
    <t>N</t>
  </si>
  <si>
    <t>Vr</t>
  </si>
  <si>
    <t>Vm</t>
  </si>
  <si>
    <t>mm</t>
  </si>
  <si>
    <t>m3/hr</t>
  </si>
  <si>
    <t>Step 6: Determine flow velocity</t>
  </si>
  <si>
    <t>velocity in tube (w_t)</t>
  </si>
  <si>
    <t>m/s</t>
  </si>
  <si>
    <t>velocity in shell (w_s)</t>
  </si>
  <si>
    <t>Step 7: Determine the convective heat transfer coeff</t>
  </si>
  <si>
    <t>Shell reynolds number (Re_s)</t>
  </si>
  <si>
    <t>Tube outer diameter</t>
  </si>
  <si>
    <t>Tube thickness</t>
  </si>
  <si>
    <t>Traingular pitch</t>
  </si>
  <si>
    <t>Based on flow rate we check the table for suitable design which is number 10 heat exchanger design. From DIN Heat exchanger design tables.</t>
  </si>
  <si>
    <t>prandtl number (Pr_s)</t>
  </si>
  <si>
    <t>Nusselt number (N_s)</t>
  </si>
  <si>
    <r>
      <t>Heat transfer coefficient (</t>
    </r>
    <r>
      <rPr>
        <sz val="11"/>
        <color theme="1"/>
        <rFont val="Aptos Narrow"/>
        <family val="2"/>
      </rPr>
      <t>α_s)</t>
    </r>
  </si>
  <si>
    <t>Shell side heat transfer coefficient</t>
  </si>
  <si>
    <t>Tube side heat transfer coefficient</t>
  </si>
  <si>
    <t>reynolds number (Re_t)</t>
  </si>
  <si>
    <t>prandtl number (Pr_t)</t>
  </si>
  <si>
    <t>Nusselt number (N_t)</t>
  </si>
  <si>
    <r>
      <t>Heat transfer coefficient (</t>
    </r>
    <r>
      <rPr>
        <sz val="11"/>
        <color theme="1"/>
        <rFont val="Aptos Narrow"/>
        <family val="2"/>
      </rPr>
      <t>α_t)</t>
    </r>
  </si>
  <si>
    <t>Step 8: Determine the overall heat transfer coeff</t>
  </si>
  <si>
    <t>Overall heat transfer coefficient (U)</t>
  </si>
  <si>
    <t>Step 9: Calculate the actual heat load and compare</t>
  </si>
  <si>
    <t>Tube length</t>
  </si>
  <si>
    <t>m</t>
  </si>
  <si>
    <t xml:space="preserve">Area </t>
  </si>
  <si>
    <t>m2/m</t>
  </si>
  <si>
    <t>the total area of heat exchanger</t>
  </si>
  <si>
    <t>actual heat load Q_actual</t>
  </si>
  <si>
    <t>Required overall heat transfer coeff (U_req)</t>
  </si>
  <si>
    <t>Step 10: Calculate the excess and fouling reserve</t>
  </si>
  <si>
    <t>%reserve</t>
  </si>
  <si>
    <t>With the excess percent being around 12 percent the current heat exchanger design values can be used for obtaining other values and filling up the datasheet.</t>
  </si>
  <si>
    <t>Design of watercooler using DIN standard design table</t>
  </si>
  <si>
    <t>Legend</t>
  </si>
  <si>
    <t xml:space="preserve">Step </t>
  </si>
  <si>
    <t>Input</t>
  </si>
  <si>
    <t>Calculated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</si>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</sst>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7" tint="-0.499984740745262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4" fillId="6" borderId="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314325</xdr:colOff>
      <xdr:row>10</xdr:row>
      <xdr:rowOff>14287</xdr:rowOff>
    </xdr:from>
    <xdr:ext cx="137056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7DC7D7C-594F-E005-D640-5F4E0689754F}"/>
                </a:ext>
              </a:extLst>
            </xdr:cNvPr>
            <xdr:cNvSpPr txBox="1"/>
          </xdr:nvSpPr>
          <xdr:spPr>
            <a:xfrm>
              <a:off x="13887450" y="1966912"/>
              <a:ext cx="13705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∗(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1−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2)</m:t>
                    </m:r>
                  </m:oMath>
                </m:oMathPara>
              </a14:m>
              <a:endParaRPr lang="en-DK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7DC7D7C-594F-E005-D640-5F4E0689754F}"/>
                </a:ext>
              </a:extLst>
            </xdr:cNvPr>
            <xdr:cNvSpPr txBox="1"/>
          </xdr:nvSpPr>
          <xdr:spPr>
            <a:xfrm>
              <a:off x="13887450" y="1966912"/>
              <a:ext cx="13705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𝑄=𝑚∗𝑐∗(𝑇1−𝑇2)</a:t>
              </a:r>
              <a:endParaRPr lang="en-DK" sz="1100"/>
            </a:p>
          </xdr:txBody>
        </xdr:sp>
      </mc:Fallback>
    </mc:AlternateContent>
    <xdr:clientData/>
  </xdr:oneCellAnchor>
  <xdr:oneCellAnchor>
    <xdr:from>
      <xdr:col>20</xdr:col>
      <xdr:colOff>257175</xdr:colOff>
      <xdr:row>12</xdr:row>
      <xdr:rowOff>119062</xdr:rowOff>
    </xdr:from>
    <xdr:ext cx="1952009" cy="4639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CFE36A-7679-7834-ED56-B7D4AC1AF000}"/>
                </a:ext>
              </a:extLst>
            </xdr:cNvPr>
            <xdr:cNvSpPr txBox="1"/>
          </xdr:nvSpPr>
          <xdr:spPr>
            <a:xfrm>
              <a:off x="14497050" y="2452687"/>
              <a:ext cx="1952009" cy="463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𝐿𝑀𝑇𝐷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IN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2−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</m:d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−(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2)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f>
                          <m:fPr>
                            <m:ctrlPr>
                              <a:rPr lang="en-IN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2−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DK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CFE36A-7679-7834-ED56-B7D4AC1AF000}"/>
                </a:ext>
              </a:extLst>
            </xdr:cNvPr>
            <xdr:cNvSpPr txBox="1"/>
          </xdr:nvSpPr>
          <xdr:spPr>
            <a:xfrm>
              <a:off x="14497050" y="2452687"/>
              <a:ext cx="1952009" cy="463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𝐿𝑀𝑇𝐷=  ((𝑇2−𝑡1)−(𝑇1−𝑡2))/(𝑙𝑛 (𝑇2−𝑡1)/(𝑇1−𝑡2))</a:t>
              </a:r>
              <a:endParaRPr lang="en-DK" sz="1100"/>
            </a:p>
          </xdr:txBody>
        </xdr:sp>
      </mc:Fallback>
    </mc:AlternateContent>
    <xdr:clientData/>
  </xdr:oneCellAnchor>
  <xdr:oneCellAnchor>
    <xdr:from>
      <xdr:col>20</xdr:col>
      <xdr:colOff>438150</xdr:colOff>
      <xdr:row>16</xdr:row>
      <xdr:rowOff>85725</xdr:rowOff>
    </xdr:from>
    <xdr:ext cx="123431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1BA1038-DF63-400D-9C62-7F67175B840D}"/>
                </a:ext>
              </a:extLst>
            </xdr:cNvPr>
            <xdr:cNvSpPr txBox="1"/>
          </xdr:nvSpPr>
          <xdr:spPr>
            <a:xfrm>
              <a:off x="14678025" y="3181350"/>
              <a:ext cx="123431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𝐶𝑀𝑇𝐷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 ∗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𝐿𝑀𝑇𝐷</m:t>
                    </m:r>
                  </m:oMath>
                </m:oMathPara>
              </a14:m>
              <a:endParaRPr lang="en-DK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1BA1038-DF63-400D-9C62-7F67175B840D}"/>
                </a:ext>
              </a:extLst>
            </xdr:cNvPr>
            <xdr:cNvSpPr txBox="1"/>
          </xdr:nvSpPr>
          <xdr:spPr>
            <a:xfrm>
              <a:off x="14678025" y="3181350"/>
              <a:ext cx="123431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𝐶𝑀𝑇𝐷=𝐹 ∗𝐿𝑀𝑇𝐷</a:t>
              </a:r>
              <a:endParaRPr lang="en-DK" sz="1100"/>
            </a:p>
          </xdr:txBody>
        </xdr:sp>
      </mc:Fallback>
    </mc:AlternateContent>
    <xdr:clientData/>
  </xdr:oneCellAnchor>
  <xdr:twoCellAnchor editAs="oneCell">
    <xdr:from>
      <xdr:col>20</xdr:col>
      <xdr:colOff>308964</xdr:colOff>
      <xdr:row>19</xdr:row>
      <xdr:rowOff>111258</xdr:rowOff>
    </xdr:from>
    <xdr:to>
      <xdr:col>29</xdr:col>
      <xdr:colOff>299357</xdr:colOff>
      <xdr:row>41</xdr:row>
      <xdr:rowOff>64513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523699-1A10-112C-F141-A152EE87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96464" y="3785187"/>
          <a:ext cx="5528500" cy="4198683"/>
        </a:xfrm>
        <a:prstGeom prst="rect">
          <a:avLst/>
        </a:prstGeom>
      </xdr:spPr>
    </xdr:pic>
    <xdr:clientData/>
  </xdr:twoCellAnchor>
  <xdr:twoCellAnchor editAs="oneCell">
    <xdr:from>
      <xdr:col>20</xdr:col>
      <xdr:colOff>530678</xdr:colOff>
      <xdr:row>44</xdr:row>
      <xdr:rowOff>65314</xdr:rowOff>
    </xdr:from>
    <xdr:to>
      <xdr:col>30</xdr:col>
      <xdr:colOff>129859</xdr:colOff>
      <xdr:row>62</xdr:row>
      <xdr:rowOff>122464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312C1A-A885-0B1B-5318-F0C796B4F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53607" y="8556171"/>
          <a:ext cx="5749608" cy="3649436"/>
        </a:xfrm>
        <a:prstGeom prst="rect">
          <a:avLst/>
        </a:prstGeom>
      </xdr:spPr>
    </xdr:pic>
    <xdr:clientData/>
  </xdr:twoCellAnchor>
  <xdr:oneCellAnchor>
    <xdr:from>
      <xdr:col>21</xdr:col>
      <xdr:colOff>19050</xdr:colOff>
      <xdr:row>65</xdr:row>
      <xdr:rowOff>19050</xdr:rowOff>
    </xdr:from>
    <xdr:ext cx="818622" cy="3323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F7FBC72-34AF-48D5-8B9B-E308A08A4464}"/>
                </a:ext>
              </a:extLst>
            </xdr:cNvPr>
            <xdr:cNvSpPr txBox="1"/>
          </xdr:nvSpPr>
          <xdr:spPr>
            <a:xfrm>
              <a:off x="15381514" y="12673693"/>
              <a:ext cx="818622" cy="3323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IN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∗1</m:t>
                    </m:r>
                  </m:oMath>
                </m:oMathPara>
              </a14:m>
              <a:endParaRPr lang="en-DK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F7FBC72-34AF-48D5-8B9B-E308A08A4464}"/>
                </a:ext>
              </a:extLst>
            </xdr:cNvPr>
            <xdr:cNvSpPr txBox="1"/>
          </xdr:nvSpPr>
          <xdr:spPr>
            <a:xfrm>
              <a:off x="15381514" y="12673693"/>
              <a:ext cx="818622" cy="3323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𝑤_𝑡=  (𝑉_𝑡)/(𝑉_𝑟)∗1</a:t>
              </a:r>
              <a:endParaRPr lang="en-DK" sz="1100"/>
            </a:p>
          </xdr:txBody>
        </xdr:sp>
      </mc:Fallback>
    </mc:AlternateContent>
    <xdr:clientData/>
  </xdr:oneCellAnchor>
  <xdr:oneCellAnchor>
    <xdr:from>
      <xdr:col>20</xdr:col>
      <xdr:colOff>612961</xdr:colOff>
      <xdr:row>68</xdr:row>
      <xdr:rowOff>153520</xdr:rowOff>
    </xdr:from>
    <xdr:ext cx="729430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F04FA83-B59D-C7EC-56BC-F3738EFAE122}"/>
                </a:ext>
              </a:extLst>
            </xdr:cNvPr>
            <xdr:cNvSpPr txBox="1"/>
          </xdr:nvSpPr>
          <xdr:spPr>
            <a:xfrm>
              <a:off x="16099490" y="13331638"/>
              <a:ext cx="72943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𝑅𝑒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𝑤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den>
                    </m:f>
                  </m:oMath>
                </m:oMathPara>
              </a14:m>
              <a:endParaRPr lang="en-DK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F04FA83-B59D-C7EC-56BC-F3738EFAE122}"/>
                </a:ext>
              </a:extLst>
            </xdr:cNvPr>
            <xdr:cNvSpPr txBox="1"/>
          </xdr:nvSpPr>
          <xdr:spPr>
            <a:xfrm>
              <a:off x="16099490" y="13331638"/>
              <a:ext cx="72943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𝑅𝑒=  (𝑤∗𝑑)/</a:t>
              </a:r>
              <a:r>
                <a:rPr lang="en-IN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en-DK" sz="1100"/>
            </a:p>
          </xdr:txBody>
        </xdr:sp>
      </mc:Fallback>
    </mc:AlternateContent>
    <xdr:clientData/>
  </xdr:oneCellAnchor>
  <xdr:oneCellAnchor>
    <xdr:from>
      <xdr:col>22</xdr:col>
      <xdr:colOff>590550</xdr:colOff>
      <xdr:row>68</xdr:row>
      <xdr:rowOff>164726</xdr:rowOff>
    </xdr:from>
    <xdr:ext cx="1320939" cy="3182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F63CA07-7E5B-DA0B-1303-E8F0E91F8794}"/>
                </a:ext>
              </a:extLst>
            </xdr:cNvPr>
            <xdr:cNvSpPr txBox="1"/>
          </xdr:nvSpPr>
          <xdr:spPr>
            <a:xfrm>
              <a:off x="17320932" y="13342844"/>
              <a:ext cx="1320939" cy="318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= </m:t>
                        </m:r>
                        <m:f>
                          <m:fPr>
                            <m:ctrlPr>
                              <a:rPr lang="en-IN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𝜗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∗3600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𝜆</m:t>
                            </m:r>
                          </m:den>
                        </m:f>
                      </m:e>
                    </m:func>
                  </m:oMath>
                </m:oMathPara>
              </a14:m>
              <a:endParaRPr lang="en-DK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F63CA07-7E5B-DA0B-1303-E8F0E91F8794}"/>
                </a:ext>
              </a:extLst>
            </xdr:cNvPr>
            <xdr:cNvSpPr txBox="1"/>
          </xdr:nvSpPr>
          <xdr:spPr>
            <a:xfrm>
              <a:off x="17320932" y="13342844"/>
              <a:ext cx="1320939" cy="318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Pr⁡〖= (</a:t>
              </a:r>
              <a:r>
                <a:rPr lang="en-IN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𝜗∗𝑐∗𝜌∗3600)/𝜆〗</a:t>
              </a:r>
              <a:endParaRPr lang="en-DK" sz="1100"/>
            </a:p>
          </xdr:txBody>
        </xdr:sp>
      </mc:Fallback>
    </mc:AlternateContent>
    <xdr:clientData/>
  </xdr:oneCellAnchor>
  <xdr:oneCellAnchor>
    <xdr:from>
      <xdr:col>21</xdr:col>
      <xdr:colOff>7843</xdr:colOff>
      <xdr:row>71</xdr:row>
      <xdr:rowOff>108697</xdr:rowOff>
    </xdr:from>
    <xdr:ext cx="1875513" cy="1772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B18F64E-9882-F0A9-CB28-2857AD16CBBB}"/>
                </a:ext>
              </a:extLst>
            </xdr:cNvPr>
            <xdr:cNvSpPr txBox="1"/>
          </xdr:nvSpPr>
          <xdr:spPr>
            <a:xfrm>
              <a:off x="16133108" y="13858315"/>
              <a:ext cx="1875513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IN" sz="1100" b="0" i="1">
                        <a:latin typeface="Cambria Math" panose="02040503050406030204" pitchFamily="18" charset="0"/>
                      </a:rPr>
                      <m:t>=0,023∗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𝑅</m:t>
                    </m:r>
                    <m:sSup>
                      <m:sSup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0,8</m:t>
                        </m:r>
                      </m:sup>
                    </m:sSup>
                    <m:r>
                      <a:rPr lang="en-IN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n-IN" sz="1100" b="0" i="0">
                        <a:latin typeface="Cambria Math" panose="02040503050406030204" pitchFamily="18" charset="0"/>
                      </a:rPr>
                      <m:t>Pr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⁡^0.33</m:t>
                    </m:r>
                  </m:oMath>
                </m:oMathPara>
              </a14:m>
              <a:br>
                <a:rPr lang="en-IN" sz="1100"/>
              </a:br>
              <a:endParaRPr lang="en-DK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B18F64E-9882-F0A9-CB28-2857AD16CBBB}"/>
                </a:ext>
              </a:extLst>
            </xdr:cNvPr>
            <xdr:cNvSpPr txBox="1"/>
          </xdr:nvSpPr>
          <xdr:spPr>
            <a:xfrm>
              <a:off x="16133108" y="13858315"/>
              <a:ext cx="1875513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100" b="0" i="0">
                  <a:latin typeface="Cambria Math" panose="02040503050406030204" pitchFamily="18" charset="0"/>
                </a:rPr>
                <a:t>𝑁𝑢_𝑡=0,023∗𝑅𝑒^0,8∗Pr⁡^0.33</a:t>
              </a:r>
              <a:br>
                <a:rPr lang="en-IN" sz="1100"/>
              </a:br>
              <a:endParaRPr lang="en-DK" sz="1100"/>
            </a:p>
          </xdr:txBody>
        </xdr:sp>
      </mc:Fallback>
    </mc:AlternateContent>
    <xdr:clientData/>
  </xdr:oneCellAnchor>
  <xdr:oneCellAnchor>
    <xdr:from>
      <xdr:col>20</xdr:col>
      <xdr:colOff>624168</xdr:colOff>
      <xdr:row>73</xdr:row>
      <xdr:rowOff>142314</xdr:rowOff>
    </xdr:from>
    <xdr:ext cx="1928092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2104567-686E-5656-7B1E-3D85A8E5B5B0}"/>
                </a:ext>
              </a:extLst>
            </xdr:cNvPr>
            <xdr:cNvSpPr txBox="1"/>
          </xdr:nvSpPr>
          <xdr:spPr>
            <a:xfrm>
              <a:off x="16110697" y="14272932"/>
              <a:ext cx="192809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IN" sz="1100" b="0" i="1">
                        <a:latin typeface="Cambria Math" panose="02040503050406030204" pitchFamily="18" charset="0"/>
                      </a:rPr>
                      <m:t>=0,156∗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𝑅</m:t>
                    </m:r>
                    <m:sSup>
                      <m:sSup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0.6</m:t>
                        </m:r>
                      </m:sup>
                    </m:sSup>
                    <m:r>
                      <a:rPr lang="en-IN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n-IN" sz="1100" b="0" i="0">
                        <a:latin typeface="Cambria Math" panose="02040503050406030204" pitchFamily="18" charset="0"/>
                      </a:rPr>
                      <m:t>Pr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⁡^0.33</m:t>
                    </m:r>
                  </m:oMath>
                </m:oMathPara>
              </a14:m>
              <a:endParaRPr lang="en-DK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2104567-686E-5656-7B1E-3D85A8E5B5B0}"/>
                </a:ext>
              </a:extLst>
            </xdr:cNvPr>
            <xdr:cNvSpPr txBox="1"/>
          </xdr:nvSpPr>
          <xdr:spPr>
            <a:xfrm>
              <a:off x="16110697" y="14272932"/>
              <a:ext cx="192809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𝑁𝑢_𝑠=0,156∗𝑅𝑒^0.6∗Pr⁡^0.33</a:t>
              </a:r>
              <a:endParaRPr lang="en-DK" sz="1100"/>
            </a:p>
          </xdr:txBody>
        </xdr:sp>
      </mc:Fallback>
    </mc:AlternateContent>
    <xdr:clientData/>
  </xdr:oneCellAnchor>
  <xdr:oneCellAnchor>
    <xdr:from>
      <xdr:col>21</xdr:col>
      <xdr:colOff>30255</xdr:colOff>
      <xdr:row>76</xdr:row>
      <xdr:rowOff>7844</xdr:rowOff>
    </xdr:from>
    <xdr:ext cx="693075" cy="32034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78F1799-79B7-6B53-8C6A-5140C2670BDC}"/>
                </a:ext>
              </a:extLst>
            </xdr:cNvPr>
            <xdr:cNvSpPr txBox="1"/>
          </xdr:nvSpPr>
          <xdr:spPr>
            <a:xfrm>
              <a:off x="16155520" y="14709962"/>
              <a:ext cx="693075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DK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𝑁𝑢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n-DK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78F1799-79B7-6B53-8C6A-5140C2670BDC}"/>
                </a:ext>
              </a:extLst>
            </xdr:cNvPr>
            <xdr:cNvSpPr txBox="1"/>
          </xdr:nvSpPr>
          <xdr:spPr>
            <a:xfrm>
              <a:off x="16155520" y="14709962"/>
              <a:ext cx="693075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DK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IN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=(𝑁𝑢∗𝜆)/𝑑</a:t>
              </a:r>
              <a:endParaRPr lang="en-DK" sz="1100"/>
            </a:p>
          </xdr:txBody>
        </xdr:sp>
      </mc:Fallback>
    </mc:AlternateContent>
    <xdr:clientData/>
  </xdr:oneCellAnchor>
  <xdr:oneCellAnchor>
    <xdr:from>
      <xdr:col>20</xdr:col>
      <xdr:colOff>444873</xdr:colOff>
      <xdr:row>79</xdr:row>
      <xdr:rowOff>153520</xdr:rowOff>
    </xdr:from>
    <xdr:ext cx="2123466" cy="3803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2CBE033-5AD4-4D6E-97C9-0C24332741AB}"/>
                </a:ext>
              </a:extLst>
            </xdr:cNvPr>
            <xdr:cNvSpPr txBox="1"/>
          </xdr:nvSpPr>
          <xdr:spPr>
            <a:xfrm>
              <a:off x="15931402" y="15427138"/>
              <a:ext cx="2123466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%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𝑟𝑒𝑠𝑒𝑟𝑣𝑒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IN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𝑈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𝑈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_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𝑟𝑒𝑞</m:t>
                            </m:r>
                          </m:den>
                        </m:f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∗100</m:t>
                        </m:r>
                      </m:e>
                    </m:d>
                    <m:r>
                      <a:rPr lang="en-IN" sz="1100" b="0" i="1">
                        <a:latin typeface="Cambria Math" panose="02040503050406030204" pitchFamily="18" charset="0"/>
                      </a:rPr>
                      <m:t>−100</m:t>
                    </m:r>
                  </m:oMath>
                </m:oMathPara>
              </a14:m>
              <a:endParaRPr lang="en-DK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2CBE033-5AD4-4D6E-97C9-0C24332741AB}"/>
                </a:ext>
              </a:extLst>
            </xdr:cNvPr>
            <xdr:cNvSpPr txBox="1"/>
          </xdr:nvSpPr>
          <xdr:spPr>
            <a:xfrm>
              <a:off x="15931402" y="15427138"/>
              <a:ext cx="2123466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%𝑟𝑒𝑠𝑒𝑟𝑣𝑒=(𝑈/(𝑈_𝑟𝑒𝑞)∗100)−100</a:t>
              </a:r>
              <a:endParaRPr lang="en-DK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E9D2-B261-4716-89D7-EF8F67850365}">
  <dimension ref="B3:U129"/>
  <sheetViews>
    <sheetView tabSelected="1" topLeftCell="C1" zoomScale="115" zoomScaleNormal="115" workbookViewId="0">
      <selection activeCell="K13" sqref="K13"/>
    </sheetView>
  </sheetViews>
  <sheetFormatPr defaultRowHeight="15" x14ac:dyDescent="0.25"/>
  <cols>
    <col min="2" max="2" width="39.42578125" bestFit="1" customWidth="1"/>
    <col min="5" max="5" width="26.85546875" customWidth="1"/>
    <col min="13" max="13" width="11.5703125" bestFit="1" customWidth="1"/>
    <col min="21" max="21" width="9.5703125" bestFit="1" customWidth="1"/>
  </cols>
  <sheetData>
    <row r="3" spans="2:21" ht="15" customHeight="1" x14ac:dyDescent="0.25">
      <c r="B3" s="7" t="s">
        <v>85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2:21" ht="1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21" ht="1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9" spans="2:21" x14ac:dyDescent="0.25">
      <c r="U9" t="s">
        <v>4</v>
      </c>
    </row>
    <row r="10" spans="2:21" ht="18.75" x14ac:dyDescent="0.25">
      <c r="B10" s="5" t="s">
        <v>0</v>
      </c>
      <c r="C10" s="5"/>
      <c r="D10" s="5"/>
      <c r="E10" s="5"/>
    </row>
    <row r="11" spans="2:21" x14ac:dyDescent="0.25">
      <c r="M11" s="10" t="s">
        <v>86</v>
      </c>
      <c r="T11">
        <v>1</v>
      </c>
    </row>
    <row r="12" spans="2:21" x14ac:dyDescent="0.25">
      <c r="B12" s="8" t="s">
        <v>5</v>
      </c>
      <c r="C12" s="8"/>
      <c r="D12" s="8"/>
      <c r="E12" s="8"/>
      <c r="M12" s="11" t="s">
        <v>87</v>
      </c>
    </row>
    <row r="13" spans="2:21" x14ac:dyDescent="0.25">
      <c r="B13" s="2" t="s">
        <v>1</v>
      </c>
      <c r="C13" s="2" t="s">
        <v>2</v>
      </c>
      <c r="D13" s="2" t="s">
        <v>3</v>
      </c>
      <c r="E13" s="2" t="s">
        <v>4</v>
      </c>
      <c r="M13" s="3" t="s">
        <v>88</v>
      </c>
    </row>
    <row r="14" spans="2:21" x14ac:dyDescent="0.25">
      <c r="B14" s="1" t="s">
        <v>24</v>
      </c>
      <c r="C14" s="3">
        <v>50000</v>
      </c>
      <c r="D14" s="1" t="s">
        <v>6</v>
      </c>
      <c r="E14" s="1"/>
      <c r="M14" s="4" t="s">
        <v>89</v>
      </c>
      <c r="T14">
        <v>2</v>
      </c>
    </row>
    <row r="15" spans="2:21" x14ac:dyDescent="0.25">
      <c r="B15" s="1" t="s">
        <v>13</v>
      </c>
      <c r="C15" s="3">
        <v>65</v>
      </c>
      <c r="D15" s="1" t="s">
        <v>7</v>
      </c>
      <c r="E15" s="1"/>
      <c r="M15" s="1" t="s">
        <v>90</v>
      </c>
    </row>
    <row r="16" spans="2:21" x14ac:dyDescent="0.25">
      <c r="B16" s="1" t="s">
        <v>14</v>
      </c>
      <c r="C16" s="3">
        <v>50</v>
      </c>
      <c r="D16" s="1" t="s">
        <v>7</v>
      </c>
      <c r="E16" s="1"/>
    </row>
    <row r="17" spans="2:20" x14ac:dyDescent="0.25">
      <c r="B17" s="1" t="s">
        <v>26</v>
      </c>
      <c r="C17" s="3">
        <v>983</v>
      </c>
      <c r="D17" s="1" t="s">
        <v>8</v>
      </c>
      <c r="E17" s="1"/>
    </row>
    <row r="18" spans="2:20" x14ac:dyDescent="0.25">
      <c r="B18" s="1" t="s">
        <v>25</v>
      </c>
      <c r="C18" s="3">
        <v>1.1599999999999999</v>
      </c>
      <c r="D18" s="1" t="s">
        <v>9</v>
      </c>
      <c r="E18" s="1"/>
    </row>
    <row r="19" spans="2:20" x14ac:dyDescent="0.25">
      <c r="B19" s="1" t="s">
        <v>27</v>
      </c>
      <c r="C19" s="3">
        <v>0.65400000000000003</v>
      </c>
      <c r="D19" s="1" t="s">
        <v>11</v>
      </c>
      <c r="E19" s="1"/>
    </row>
    <row r="20" spans="2:20" x14ac:dyDescent="0.25">
      <c r="B20" s="1" t="s">
        <v>28</v>
      </c>
      <c r="C20" s="3">
        <v>0.47</v>
      </c>
      <c r="D20" s="1" t="s">
        <v>10</v>
      </c>
      <c r="E20" s="1"/>
    </row>
    <row r="21" spans="2:20" x14ac:dyDescent="0.25">
      <c r="B21" s="1" t="s">
        <v>15</v>
      </c>
      <c r="C21" s="3">
        <v>2.0000000000000001E-4</v>
      </c>
      <c r="D21" s="1" t="s">
        <v>12</v>
      </c>
      <c r="E21" s="1"/>
      <c r="T21">
        <v>3</v>
      </c>
    </row>
    <row r="24" spans="2:20" x14ac:dyDescent="0.25">
      <c r="B24" s="8" t="s">
        <v>16</v>
      </c>
      <c r="C24" s="8"/>
      <c r="D24" s="8"/>
      <c r="E24" s="8"/>
    </row>
    <row r="25" spans="2:20" x14ac:dyDescent="0.25">
      <c r="B25" s="2" t="s">
        <v>1</v>
      </c>
      <c r="C25" s="2" t="s">
        <v>2</v>
      </c>
      <c r="D25" s="2" t="s">
        <v>3</v>
      </c>
      <c r="E25" s="2" t="s">
        <v>4</v>
      </c>
    </row>
    <row r="26" spans="2:20" x14ac:dyDescent="0.25">
      <c r="B26" s="1" t="s">
        <v>23</v>
      </c>
      <c r="C26" s="3">
        <v>36800</v>
      </c>
      <c r="D26" s="1" t="s">
        <v>6</v>
      </c>
      <c r="E26" s="1"/>
    </row>
    <row r="27" spans="2:20" x14ac:dyDescent="0.25">
      <c r="B27" s="1" t="s">
        <v>17</v>
      </c>
      <c r="C27" s="3">
        <v>15</v>
      </c>
      <c r="D27" s="1" t="s">
        <v>7</v>
      </c>
      <c r="E27" s="1"/>
    </row>
    <row r="28" spans="2:20" x14ac:dyDescent="0.25">
      <c r="B28" s="1" t="s">
        <v>18</v>
      </c>
      <c r="C28" s="3">
        <v>35.4</v>
      </c>
      <c r="D28" s="1" t="s">
        <v>7</v>
      </c>
      <c r="E28" s="1"/>
    </row>
    <row r="29" spans="2:20" x14ac:dyDescent="0.25">
      <c r="B29" s="1" t="s">
        <v>22</v>
      </c>
      <c r="C29" s="3">
        <v>994</v>
      </c>
      <c r="D29" s="1" t="s">
        <v>8</v>
      </c>
      <c r="E29" s="1"/>
    </row>
    <row r="30" spans="2:20" x14ac:dyDescent="0.25">
      <c r="B30" s="1" t="s">
        <v>21</v>
      </c>
      <c r="C30" s="3">
        <v>1.1599999999999999</v>
      </c>
      <c r="D30" s="1" t="s">
        <v>9</v>
      </c>
      <c r="E30" s="1"/>
    </row>
    <row r="31" spans="2:20" x14ac:dyDescent="0.25">
      <c r="B31" s="1" t="s">
        <v>20</v>
      </c>
      <c r="C31" s="3">
        <v>0.60499999999999998</v>
      </c>
      <c r="D31" s="1" t="s">
        <v>11</v>
      </c>
      <c r="E31" s="1"/>
    </row>
    <row r="32" spans="2:20" x14ac:dyDescent="0.25">
      <c r="B32" s="1" t="s">
        <v>19</v>
      </c>
      <c r="C32" s="3">
        <v>0.92</v>
      </c>
      <c r="D32" s="1" t="s">
        <v>10</v>
      </c>
      <c r="E32" s="1"/>
    </row>
    <row r="33" spans="2:20" x14ac:dyDescent="0.25">
      <c r="B33" s="1" t="s">
        <v>15</v>
      </c>
      <c r="C33" s="3">
        <v>2.0000000000000001E-4</v>
      </c>
      <c r="D33" s="1" t="s">
        <v>12</v>
      </c>
      <c r="E33" s="1"/>
    </row>
    <row r="37" spans="2:20" ht="18.75" x14ac:dyDescent="0.25">
      <c r="B37" s="5" t="s">
        <v>32</v>
      </c>
      <c r="C37" s="5"/>
      <c r="D37" s="5"/>
      <c r="E37" s="5"/>
    </row>
    <row r="39" spans="2:20" x14ac:dyDescent="0.25">
      <c r="B39" s="2" t="s">
        <v>1</v>
      </c>
      <c r="C39" s="2" t="s">
        <v>2</v>
      </c>
      <c r="D39" s="2" t="s">
        <v>3</v>
      </c>
      <c r="E39" s="2" t="s">
        <v>4</v>
      </c>
    </row>
    <row r="40" spans="2:20" x14ac:dyDescent="0.25">
      <c r="B40" s="1" t="s">
        <v>29</v>
      </c>
      <c r="C40" s="4">
        <f>C14*C18*(C15-C16)</f>
        <v>869999.99999999988</v>
      </c>
      <c r="D40" s="1" t="s">
        <v>31</v>
      </c>
      <c r="E40" s="1">
        <v>1</v>
      </c>
    </row>
    <row r="41" spans="2:20" x14ac:dyDescent="0.25">
      <c r="B41" s="1" t="s">
        <v>30</v>
      </c>
      <c r="C41" s="4">
        <f>C26*C30*(C28-C27)</f>
        <v>870835.19999999995</v>
      </c>
      <c r="D41" s="1" t="s">
        <v>31</v>
      </c>
      <c r="E41" s="1">
        <v>1</v>
      </c>
    </row>
    <row r="45" spans="2:20" ht="18.75" x14ac:dyDescent="0.25">
      <c r="B45" s="5" t="s">
        <v>33</v>
      </c>
      <c r="C45" s="5"/>
      <c r="D45" s="5"/>
      <c r="E45" s="5"/>
    </row>
    <row r="46" spans="2:20" x14ac:dyDescent="0.25">
      <c r="T46">
        <v>4</v>
      </c>
    </row>
    <row r="47" spans="2:20" x14ac:dyDescent="0.25">
      <c r="B47" s="2" t="s">
        <v>1</v>
      </c>
      <c r="C47" s="2" t="s">
        <v>2</v>
      </c>
      <c r="D47" s="2" t="s">
        <v>3</v>
      </c>
      <c r="E47" s="2" t="s">
        <v>4</v>
      </c>
    </row>
    <row r="48" spans="2:20" x14ac:dyDescent="0.25">
      <c r="B48" s="1" t="s">
        <v>34</v>
      </c>
      <c r="C48" s="4">
        <f>((C16-C27)-(C15-C28))/(LN((C16-C27)/(C15-C28)))</f>
        <v>32.224627103557566</v>
      </c>
      <c r="D48" s="1" t="s">
        <v>7</v>
      </c>
      <c r="E48" s="1">
        <v>2</v>
      </c>
    </row>
    <row r="49" spans="2:5" x14ac:dyDescent="0.25">
      <c r="B49" s="1" t="s">
        <v>36</v>
      </c>
      <c r="C49" s="4">
        <f>(C28-C27)/(C15-C27)</f>
        <v>0.40799999999999997</v>
      </c>
      <c r="D49" s="1"/>
      <c r="E49" s="1">
        <v>3</v>
      </c>
    </row>
    <row r="50" spans="2:5" x14ac:dyDescent="0.25">
      <c r="B50" s="1" t="s">
        <v>37</v>
      </c>
      <c r="C50" s="4">
        <f>(C15-C16)/(C28-C27)</f>
        <v>0.73529411764705888</v>
      </c>
      <c r="D50" s="1"/>
      <c r="E50" s="1">
        <v>3</v>
      </c>
    </row>
    <row r="51" spans="2:5" x14ac:dyDescent="0.25">
      <c r="B51" s="1" t="s">
        <v>35</v>
      </c>
      <c r="C51" s="3">
        <v>0.95</v>
      </c>
      <c r="D51" s="1"/>
      <c r="E51" s="1">
        <v>3</v>
      </c>
    </row>
    <row r="52" spans="2:5" x14ac:dyDescent="0.25">
      <c r="B52" s="1" t="s">
        <v>38</v>
      </c>
      <c r="C52" s="4">
        <f>C51*C48</f>
        <v>30.613395748379688</v>
      </c>
      <c r="D52" s="1" t="s">
        <v>7</v>
      </c>
      <c r="E52" s="1">
        <v>2</v>
      </c>
    </row>
    <row r="55" spans="2:5" ht="18.75" x14ac:dyDescent="0.25">
      <c r="B55" s="5" t="s">
        <v>39</v>
      </c>
      <c r="C55" s="5"/>
      <c r="D55" s="5"/>
      <c r="E55" s="5"/>
    </row>
    <row r="57" spans="2:5" x14ac:dyDescent="0.25">
      <c r="B57" s="2" t="s">
        <v>1</v>
      </c>
      <c r="C57" s="2" t="s">
        <v>2</v>
      </c>
      <c r="D57" s="2" t="s">
        <v>3</v>
      </c>
      <c r="E57" s="2" t="s">
        <v>4</v>
      </c>
    </row>
    <row r="58" spans="2:5" x14ac:dyDescent="0.25">
      <c r="B58" s="1" t="s">
        <v>41</v>
      </c>
      <c r="C58" s="3">
        <v>716</v>
      </c>
      <c r="D58" s="1" t="s">
        <v>42</v>
      </c>
      <c r="E58" s="1"/>
    </row>
    <row r="59" spans="2:5" x14ac:dyDescent="0.25">
      <c r="B59" s="1" t="s">
        <v>40</v>
      </c>
      <c r="C59" s="4">
        <f>(IF(C40&gt;C41,C41,C40))/(C58*C52)</f>
        <v>39.691245259748541</v>
      </c>
      <c r="D59" s="1" t="s">
        <v>43</v>
      </c>
      <c r="E59" s="1"/>
    </row>
    <row r="62" spans="2:5" ht="18.75" x14ac:dyDescent="0.25">
      <c r="B62" s="5" t="s">
        <v>44</v>
      </c>
      <c r="C62" s="5"/>
      <c r="D62" s="5"/>
      <c r="E62" s="5"/>
    </row>
    <row r="64" spans="2:5" x14ac:dyDescent="0.25">
      <c r="B64" s="2" t="s">
        <v>1</v>
      </c>
      <c r="C64" s="2" t="s">
        <v>2</v>
      </c>
      <c r="D64" s="2" t="s">
        <v>3</v>
      </c>
      <c r="E64" s="2" t="s">
        <v>4</v>
      </c>
    </row>
    <row r="65" spans="2:20" x14ac:dyDescent="0.25">
      <c r="B65" s="1" t="s">
        <v>45</v>
      </c>
      <c r="C65" s="4">
        <f>C14/C17</f>
        <v>50.864699898270601</v>
      </c>
      <c r="D65" s="1"/>
      <c r="E65" s="1"/>
    </row>
    <row r="66" spans="2:20" x14ac:dyDescent="0.25">
      <c r="B66" s="1" t="s">
        <v>46</v>
      </c>
      <c r="C66" s="4">
        <f>C26/C29</f>
        <v>37.022132796780681</v>
      </c>
      <c r="D66" s="1"/>
      <c r="E66" s="1"/>
      <c r="T66">
        <v>5</v>
      </c>
    </row>
    <row r="68" spans="2:20" x14ac:dyDescent="0.25">
      <c r="B68" s="9" t="s">
        <v>62</v>
      </c>
      <c r="C68" s="9"/>
      <c r="D68" s="9"/>
      <c r="E68" s="9"/>
    </row>
    <row r="69" spans="2:20" x14ac:dyDescent="0.25">
      <c r="B69" s="9"/>
      <c r="C69" s="9"/>
      <c r="D69" s="9"/>
      <c r="E69" s="9"/>
    </row>
    <row r="70" spans="2:20" x14ac:dyDescent="0.25">
      <c r="T70">
        <v>6</v>
      </c>
    </row>
    <row r="71" spans="2:20" x14ac:dyDescent="0.25">
      <c r="B71" s="2" t="s">
        <v>1</v>
      </c>
      <c r="C71" s="2" t="s">
        <v>2</v>
      </c>
      <c r="D71" s="2" t="s">
        <v>3</v>
      </c>
      <c r="E71" s="2" t="s">
        <v>4</v>
      </c>
    </row>
    <row r="72" spans="2:20" x14ac:dyDescent="0.25">
      <c r="B72" s="1" t="s">
        <v>47</v>
      </c>
      <c r="C72" s="3">
        <v>500</v>
      </c>
      <c r="D72" s="1" t="s">
        <v>51</v>
      </c>
      <c r="E72" s="1">
        <v>4</v>
      </c>
    </row>
    <row r="73" spans="2:20" x14ac:dyDescent="0.25">
      <c r="B73" s="1" t="s">
        <v>48</v>
      </c>
      <c r="C73" s="3">
        <v>164</v>
      </c>
      <c r="D73" s="1"/>
      <c r="E73" s="1">
        <v>4</v>
      </c>
    </row>
    <row r="74" spans="2:20" x14ac:dyDescent="0.25">
      <c r="B74" s="1" t="s">
        <v>49</v>
      </c>
      <c r="C74" s="3">
        <v>51.12</v>
      </c>
      <c r="D74" s="1" t="s">
        <v>52</v>
      </c>
      <c r="E74" s="1">
        <v>4</v>
      </c>
    </row>
    <row r="75" spans="2:20" x14ac:dyDescent="0.25">
      <c r="B75" s="1" t="s">
        <v>50</v>
      </c>
      <c r="C75" s="3">
        <v>43.56</v>
      </c>
      <c r="D75" s="1" t="s">
        <v>52</v>
      </c>
      <c r="E75" s="1">
        <v>4</v>
      </c>
    </row>
    <row r="76" spans="2:20" x14ac:dyDescent="0.25">
      <c r="B76" s="1" t="s">
        <v>59</v>
      </c>
      <c r="C76" s="3">
        <v>25</v>
      </c>
      <c r="D76" s="1" t="s">
        <v>51</v>
      </c>
      <c r="E76" s="1"/>
    </row>
    <row r="77" spans="2:20" x14ac:dyDescent="0.25">
      <c r="B77" s="1" t="s">
        <v>60</v>
      </c>
      <c r="C77" s="3">
        <v>2</v>
      </c>
      <c r="D77" s="1" t="s">
        <v>51</v>
      </c>
      <c r="E77" s="1"/>
    </row>
    <row r="78" spans="2:20" x14ac:dyDescent="0.25">
      <c r="B78" s="1" t="s">
        <v>61</v>
      </c>
      <c r="C78" s="3">
        <v>32</v>
      </c>
      <c r="D78" s="1" t="s">
        <v>51</v>
      </c>
      <c r="E78" s="1"/>
    </row>
    <row r="79" spans="2:20" x14ac:dyDescent="0.25">
      <c r="B79" s="1" t="s">
        <v>75</v>
      </c>
      <c r="C79" s="3">
        <v>2.5</v>
      </c>
      <c r="D79" s="1" t="s">
        <v>76</v>
      </c>
      <c r="E79" s="1"/>
    </row>
    <row r="80" spans="2:20" x14ac:dyDescent="0.25">
      <c r="B80" s="1" t="s">
        <v>77</v>
      </c>
      <c r="C80" s="3">
        <v>12.9</v>
      </c>
      <c r="D80" s="1" t="s">
        <v>78</v>
      </c>
      <c r="E80" s="1"/>
    </row>
    <row r="81" spans="2:20" x14ac:dyDescent="0.25">
      <c r="T81">
        <v>7</v>
      </c>
    </row>
    <row r="83" spans="2:20" ht="18.75" x14ac:dyDescent="0.25">
      <c r="B83" s="5" t="s">
        <v>53</v>
      </c>
      <c r="C83" s="5"/>
      <c r="D83" s="5"/>
      <c r="E83" s="5"/>
    </row>
    <row r="85" spans="2:20" x14ac:dyDescent="0.25">
      <c r="B85" s="2" t="s">
        <v>1</v>
      </c>
      <c r="C85" s="2" t="s">
        <v>2</v>
      </c>
      <c r="D85" s="2" t="s">
        <v>3</v>
      </c>
      <c r="E85" s="2" t="s">
        <v>4</v>
      </c>
    </row>
    <row r="86" spans="2:20" x14ac:dyDescent="0.25">
      <c r="B86" s="1" t="s">
        <v>54</v>
      </c>
      <c r="C86" s="4">
        <f>(C66/C74)*1</f>
        <v>0.72422012513264244</v>
      </c>
      <c r="D86" s="1" t="s">
        <v>55</v>
      </c>
      <c r="E86" s="1">
        <v>5</v>
      </c>
    </row>
    <row r="87" spans="2:20" x14ac:dyDescent="0.25">
      <c r="B87" s="1" t="s">
        <v>56</v>
      </c>
      <c r="C87" s="4">
        <f>(C65/C75)*1</f>
        <v>1.167692835130179</v>
      </c>
      <c r="D87" s="1" t="s">
        <v>55</v>
      </c>
      <c r="E87" s="1">
        <v>5</v>
      </c>
    </row>
    <row r="90" spans="2:20" ht="18.75" x14ac:dyDescent="0.25">
      <c r="B90" s="5" t="s">
        <v>57</v>
      </c>
      <c r="C90" s="5"/>
      <c r="D90" s="5"/>
      <c r="E90" s="5"/>
    </row>
    <row r="92" spans="2:20" x14ac:dyDescent="0.25">
      <c r="B92" s="8" t="s">
        <v>66</v>
      </c>
      <c r="C92" s="8"/>
      <c r="D92" s="8"/>
      <c r="E92" s="8"/>
    </row>
    <row r="93" spans="2:20" x14ac:dyDescent="0.25">
      <c r="B93" s="2" t="s">
        <v>1</v>
      </c>
      <c r="C93" s="2" t="s">
        <v>2</v>
      </c>
      <c r="D93" s="2" t="s">
        <v>3</v>
      </c>
      <c r="E93" s="2" t="s">
        <v>4</v>
      </c>
    </row>
    <row r="94" spans="2:20" x14ac:dyDescent="0.25">
      <c r="B94" s="1" t="s">
        <v>58</v>
      </c>
      <c r="C94" s="4">
        <f>C87*((C76/1000))/(C20*10^-6)</f>
        <v>62111.321017562725</v>
      </c>
      <c r="D94" s="1"/>
      <c r="E94" s="1">
        <v>6</v>
      </c>
    </row>
    <row r="95" spans="2:20" x14ac:dyDescent="0.25">
      <c r="B95" s="1" t="s">
        <v>63</v>
      </c>
      <c r="C95" s="4">
        <f>(C20*(10^-6)*C17*C18*3600/C19)</f>
        <v>2.9500822018348618</v>
      </c>
      <c r="D95" s="1"/>
      <c r="E95" s="1">
        <v>6</v>
      </c>
    </row>
    <row r="96" spans="2:20" x14ac:dyDescent="0.25">
      <c r="B96" s="1" t="s">
        <v>64</v>
      </c>
      <c r="C96" s="4">
        <f>0.156*(C94^0.6)*(C95^0.33)</f>
        <v>167.52218033534498</v>
      </c>
      <c r="D96" s="1"/>
      <c r="E96" s="1">
        <v>6</v>
      </c>
    </row>
    <row r="97" spans="2:5" x14ac:dyDescent="0.25">
      <c r="B97" s="1" t="s">
        <v>65</v>
      </c>
      <c r="C97" s="4">
        <f>C96*C19/(C76/1000)</f>
        <v>4382.3802375726245</v>
      </c>
      <c r="D97" s="1" t="s">
        <v>42</v>
      </c>
      <c r="E97" s="1">
        <v>6</v>
      </c>
    </row>
    <row r="99" spans="2:5" x14ac:dyDescent="0.25">
      <c r="B99" s="8" t="s">
        <v>67</v>
      </c>
      <c r="C99" s="8"/>
      <c r="D99" s="8"/>
      <c r="E99" s="8"/>
    </row>
    <row r="100" spans="2:5" x14ac:dyDescent="0.25">
      <c r="B100" s="2" t="s">
        <v>1</v>
      </c>
      <c r="C100" s="2" t="s">
        <v>2</v>
      </c>
      <c r="D100" s="2" t="s">
        <v>3</v>
      </c>
      <c r="E100" s="2" t="s">
        <v>4</v>
      </c>
    </row>
    <row r="101" spans="2:5" x14ac:dyDescent="0.25">
      <c r="B101" s="1" t="s">
        <v>68</v>
      </c>
      <c r="C101" s="4">
        <f>C86*((C76/1000)-(2*(C77/1000)))/(C32*10^-6)</f>
        <v>16531.111551940754</v>
      </c>
      <c r="D101" s="1"/>
      <c r="E101" s="1">
        <v>6</v>
      </c>
    </row>
    <row r="102" spans="2:5" x14ac:dyDescent="0.25">
      <c r="B102" s="1" t="s">
        <v>69</v>
      </c>
      <c r="C102" s="4">
        <f>(C32*(10^-6)*C30*C29*3600/C31)</f>
        <v>6.3121793057851239</v>
      </c>
      <c r="D102" s="1"/>
      <c r="E102" s="1">
        <v>6</v>
      </c>
    </row>
    <row r="103" spans="2:5" x14ac:dyDescent="0.25">
      <c r="B103" s="1" t="s">
        <v>70</v>
      </c>
      <c r="C103" s="4">
        <f>0.023*(C101^0.8)*(C102^0.33)</f>
        <v>100.09875114763565</v>
      </c>
      <c r="D103" s="1"/>
      <c r="E103" s="1">
        <v>6</v>
      </c>
    </row>
    <row r="104" spans="2:5" x14ac:dyDescent="0.25">
      <c r="B104" s="1" t="s">
        <v>71</v>
      </c>
      <c r="C104" s="4">
        <f>C103*C31/((C76/1000)-(2*C77/1000))</f>
        <v>2883.797354491408</v>
      </c>
      <c r="D104" s="1" t="s">
        <v>42</v>
      </c>
      <c r="E104" s="1">
        <v>6</v>
      </c>
    </row>
    <row r="107" spans="2:5" ht="18.75" x14ac:dyDescent="0.25">
      <c r="B107" s="5" t="s">
        <v>72</v>
      </c>
      <c r="C107" s="5"/>
      <c r="D107" s="5"/>
      <c r="E107" s="5"/>
    </row>
    <row r="109" spans="2:5" x14ac:dyDescent="0.25">
      <c r="B109" s="2" t="s">
        <v>1</v>
      </c>
      <c r="C109" s="2" t="s">
        <v>2</v>
      </c>
      <c r="D109" s="2" t="s">
        <v>3</v>
      </c>
      <c r="E109" s="2" t="s">
        <v>4</v>
      </c>
    </row>
    <row r="110" spans="2:5" x14ac:dyDescent="0.25">
      <c r="B110" s="1" t="s">
        <v>73</v>
      </c>
      <c r="C110" s="4">
        <f>1/((1/C97)+(1/C104)+(C77/(1000*50))+C21+C33)</f>
        <v>985.2687525205622</v>
      </c>
      <c r="D110" s="1" t="s">
        <v>42</v>
      </c>
      <c r="E110" s="1"/>
    </row>
    <row r="113" spans="2:5" ht="18.75" x14ac:dyDescent="0.25">
      <c r="B113" s="5" t="s">
        <v>74</v>
      </c>
      <c r="C113" s="5"/>
      <c r="D113" s="5"/>
      <c r="E113" s="5"/>
    </row>
    <row r="115" spans="2:5" x14ac:dyDescent="0.25">
      <c r="B115" s="2" t="s">
        <v>1</v>
      </c>
      <c r="C115" s="2" t="s">
        <v>2</v>
      </c>
      <c r="D115" s="2" t="s">
        <v>3</v>
      </c>
      <c r="E115" s="2" t="s">
        <v>4</v>
      </c>
    </row>
    <row r="116" spans="2:5" x14ac:dyDescent="0.25">
      <c r="B116" s="1" t="s">
        <v>79</v>
      </c>
      <c r="C116" s="4">
        <f>C80*C79</f>
        <v>32.25</v>
      </c>
      <c r="D116" s="1" t="s">
        <v>43</v>
      </c>
      <c r="E116" s="1"/>
    </row>
    <row r="117" spans="2:5" x14ac:dyDescent="0.25">
      <c r="B117" s="1" t="s">
        <v>80</v>
      </c>
      <c r="C117" s="4">
        <f>C116*C110*C52</f>
        <v>972738.11722143495</v>
      </c>
      <c r="D117" s="1" t="s">
        <v>31</v>
      </c>
      <c r="E117" s="1"/>
    </row>
    <row r="118" spans="2:5" x14ac:dyDescent="0.25">
      <c r="B118" s="1" t="s">
        <v>81</v>
      </c>
      <c r="C118" s="4">
        <f>C40/(C116*C52)</f>
        <v>881.20718158077375</v>
      </c>
      <c r="D118" s="1" t="s">
        <v>42</v>
      </c>
      <c r="E118" s="1"/>
    </row>
    <row r="121" spans="2:5" ht="18.75" x14ac:dyDescent="0.25">
      <c r="B121" s="5" t="s">
        <v>82</v>
      </c>
      <c r="C121" s="5"/>
      <c r="D121" s="5"/>
      <c r="E121" s="5"/>
    </row>
    <row r="123" spans="2:5" x14ac:dyDescent="0.25">
      <c r="B123" s="2" t="s">
        <v>1</v>
      </c>
      <c r="C123" s="2" t="s">
        <v>2</v>
      </c>
      <c r="D123" s="2" t="s">
        <v>3</v>
      </c>
      <c r="E123" s="2" t="s">
        <v>4</v>
      </c>
    </row>
    <row r="124" spans="2:5" x14ac:dyDescent="0.25">
      <c r="B124" s="1" t="s">
        <v>83</v>
      </c>
      <c r="C124" s="4">
        <f>((C110/C118)*100)-100</f>
        <v>11.80897899096955</v>
      </c>
      <c r="D124" s="1"/>
      <c r="E124" s="1">
        <v>7</v>
      </c>
    </row>
    <row r="126" spans="2:5" x14ac:dyDescent="0.25">
      <c r="B126" s="6" t="s">
        <v>84</v>
      </c>
      <c r="C126" s="6"/>
      <c r="D126" s="6"/>
      <c r="E126" s="6"/>
    </row>
    <row r="127" spans="2:5" x14ac:dyDescent="0.25">
      <c r="B127" s="6"/>
      <c r="C127" s="6"/>
      <c r="D127" s="6"/>
      <c r="E127" s="6"/>
    </row>
    <row r="128" spans="2:5" x14ac:dyDescent="0.25">
      <c r="B128" s="6"/>
      <c r="C128" s="6"/>
      <c r="D128" s="6"/>
      <c r="E128" s="6"/>
    </row>
    <row r="129" spans="2:5" x14ac:dyDescent="0.25">
      <c r="B129" s="6"/>
      <c r="C129" s="6"/>
      <c r="D129" s="6"/>
      <c r="E129" s="6"/>
    </row>
  </sheetData>
  <mergeCells count="17">
    <mergeCell ref="B12:E12"/>
    <mergeCell ref="B121:E121"/>
    <mergeCell ref="B126:E129"/>
    <mergeCell ref="B3:P5"/>
    <mergeCell ref="B83:E83"/>
    <mergeCell ref="B90:E90"/>
    <mergeCell ref="B92:E92"/>
    <mergeCell ref="B99:E99"/>
    <mergeCell ref="B107:E107"/>
    <mergeCell ref="B113:E113"/>
    <mergeCell ref="B24:E24"/>
    <mergeCell ref="B37:E37"/>
    <mergeCell ref="B45:E45"/>
    <mergeCell ref="B55:E55"/>
    <mergeCell ref="B62:E62"/>
    <mergeCell ref="B68:E69"/>
    <mergeCell ref="B10:E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2026-02-07T11:11:59Z</dcterms:created>
  <dcterms:modified xsi:type="dcterms:W3CDTF">2026-02-07T23:33:43Z</dcterms:modified>
</cp:coreProperties>
</file>